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Gia" sheetId="1" r:id="rId1"/>
    <sheet name="BangChung" sheetId="2" r:id="rId2"/>
  </sheets>
  <definedNames>
    <definedName name="_xlnm._FilterDatabase" localSheetId="0">BaoGia!$A$1:$E$37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15.83203125" customWidth="1"/>
    <col min="2" max="2" width="55.83203125" customWidth="1"/>
    <col min="3" max="3" width="95.83203125" customWidth="1"/>
    <col min="4" max="4" width="20.83203125" customWidth="1"/>
    <col min="5" max="5" width="55.83203125" customWidth="1"/>
  </cols>
  <sheetData>
    <row r="1">
      <c r="A1" t="str">
        <v>Component</v>
      </c>
      <c r="B1" t="str">
        <v>Ý nghĩa</v>
      </c>
      <c r="C1" t="str">
        <v>Ghi chú</v>
      </c>
      <c r="D1" t="str">
        <v>Chi phí/tháng (USD)</v>
      </c>
      <c r="E1" t="str">
        <v>Bằng chứng</v>
      </c>
    </row>
    <row r="2">
      <c r="A2" t="str">
        <v>llm</v>
      </c>
      <c r="B2" t="str">
        <v>Gemini Flash cho tác vụ cấp 1–3 (chat, email, tài liệu)</v>
      </c>
      <c r="C2" t="str">
        <v>CHỜ TV2 điền: dịch vụ/SKU, region, đơn giá × số lượng</v>
      </c>
      <c r="D2" t="str">
        <v/>
      </c>
      <c r="E2" t="str">
        <v/>
      </c>
    </row>
    <row r="3">
      <c r="A3" t="str">
        <v>llm</v>
      </c>
      <c r="B3" t="str">
        <v>Gemini Pro cho tác vụ cấp 4 (agent dự án, reasoning)</v>
      </c>
      <c r="C3" t="str">
        <v>CHỜ TV2 điền: dịch vụ/SKU, region, đơn giá × số lượng</v>
      </c>
      <c r="D3" t="str">
        <v/>
      </c>
      <c r="E3" t="str">
        <v/>
      </c>
    </row>
    <row r="4">
      <c r="A4" t="str">
        <v>llm</v>
      </c>
      <c r="B4" t="str">
        <v>Imagen cho tác vụ cấp 5 (mockup, sơ đồ, ảnh minh họa)</v>
      </c>
      <c r="C4" t="str">
        <v>CHỜ TV2 điền: dịch vụ/SKU, region, đơn giá × số lượng</v>
      </c>
      <c r="D4" t="str">
        <v/>
      </c>
      <c r="E4" t="str">
        <v/>
      </c>
    </row>
    <row r="5">
      <c r="A5" t="str">
        <v>embedding</v>
      </c>
      <c r="B5" t="str">
        <v>Embedding tài liệu cho RAG (index lần đầu + hằng ngày)</v>
      </c>
      <c r="C5" t="str">
        <v>CHỜ TV2 điền: dịch vụ/SKU, region, đơn giá × số lượng</v>
      </c>
      <c r="D5" t="str">
        <v/>
      </c>
      <c r="E5" t="str">
        <v/>
      </c>
    </row>
    <row r="6">
      <c r="A6" t="str">
        <v>gateway</v>
      </c>
      <c r="B6" t="str">
        <v>LLM gateway: routing 5 cấp, quota theo user/đơn vị, fallback, log token</v>
      </c>
      <c r="C6" t="str">
        <v>CHỜ TV2 điền: dịch vụ/SKU, region, đơn giá × số lượng</v>
      </c>
      <c r="D6" t="str">
        <v/>
      </c>
      <c r="E6" t="str">
        <v/>
      </c>
    </row>
    <row r="7">
      <c r="A7" t="str">
        <v>connectors</v>
      </c>
      <c r="B7" t="str">
        <v>Connectors Google Workspace, M365, Notion, Jira, Confluence</v>
      </c>
      <c r="C7" t="str">
        <v>CHỜ TV3 điền: dịch vụ/SKU, region, đơn giá × số lượng</v>
      </c>
      <c r="D7" t="str">
        <v/>
      </c>
      <c r="E7" t="str">
        <v/>
      </c>
    </row>
    <row r="8">
      <c r="A8" t="str">
        <v>database</v>
      </c>
      <c r="B8" t="str">
        <v>Cloud SQL PostgreSQL HA (regional) cho metadata, lịch sử chat</v>
      </c>
      <c r="C8" t="str">
        <v>CHỜ TV3 điền: dịch vụ/SKU, region, đơn giá × số lượng</v>
      </c>
      <c r="D8" t="str">
        <v/>
      </c>
      <c r="E8" t="str">
        <v/>
      </c>
    </row>
    <row r="9">
      <c r="A9" t="str">
        <v>vector_db</v>
      </c>
      <c r="B9" t="str">
        <v>pgvector trên Cloud SQL, lọc kết quả theo ACL gốc</v>
      </c>
      <c r="C9" t="str">
        <v>CHỜ TV3 điền: dịch vụ/SKU, region, đơn giá × số lượng</v>
      </c>
      <c r="D9" t="str">
        <v/>
      </c>
      <c r="E9" t="str">
        <v/>
      </c>
    </row>
    <row r="10">
      <c r="A10" t="str">
        <v>object_storage</v>
      </c>
      <c r="B10" t="str">
        <v>GCS workspace riêng từng user (prefix + CMEK, lifecycle)</v>
      </c>
      <c r="C10" t="str">
        <v>CHỜ TV3 điền: dịch vụ/SKU, region, đơn giá × số lượng</v>
      </c>
      <c r="D10" t="str">
        <v/>
      </c>
      <c r="E10" t="str">
        <v/>
      </c>
    </row>
    <row r="11">
      <c r="A11" t="str">
        <v>cache_queue</v>
      </c>
      <c r="B11" t="str">
        <v>Memorystore Redis HA + Cloud Tasks cho agent chạy nền</v>
      </c>
      <c r="C11" t="str">
        <v>CHỜ TV3 điền: dịch vụ/SKU, region, đơn giá × số lượng</v>
      </c>
      <c r="D11" t="str">
        <v/>
      </c>
      <c r="E11" t="str">
        <v/>
      </c>
    </row>
    <row r="12">
      <c r="A12" t="str">
        <v>sandbox</v>
      </c>
      <c r="B12" t="str">
        <v>GKE Sandbox node pool (gVisor) chạy code của agent</v>
      </c>
      <c r="C12" t="str">
        <v>CHỜ TV4 điền: dịch vụ/SKU, region, đơn giá × số lượng</v>
      </c>
      <c r="D12" t="str">
        <v/>
      </c>
      <c r="E12" t="str">
        <v/>
      </c>
    </row>
    <row r="13">
      <c r="A13" t="str">
        <v>authn</v>
      </c>
      <c r="B13" t="str">
        <v>SSO tập đoàn (OIDC/SAML) + MFA</v>
      </c>
      <c r="C13" t="str">
        <v>CHỜ TV4 điền: dịch vụ/SKU, region, đơn giá × số lượng</v>
      </c>
      <c r="D13" t="str">
        <v/>
      </c>
      <c r="E13" t="str">
        <v/>
      </c>
    </row>
    <row r="14">
      <c r="A14" t="str">
        <v>authz</v>
      </c>
      <c r="B14" t="str">
        <v>RBAC/ABAC, ACL tài liệu, scope OAuth tối thiểu</v>
      </c>
      <c r="C14" t="str">
        <v>CHỜ TV4 điền: dịch vụ/SKU, region, đơn giá × số lượng</v>
      </c>
      <c r="D14" t="str">
        <v/>
      </c>
      <c r="E14" t="str">
        <v/>
      </c>
    </row>
    <row r="15">
      <c r="A15" t="str">
        <v>secrets_kms</v>
      </c>
      <c r="B15" t="str">
        <v>Cloud KMS + Secret Manager (token vault OAuth)</v>
      </c>
      <c r="C15" t="str">
        <v>CHỜ TV4 điền: dịch vụ/SKU, region, đơn giá × số lượng</v>
      </c>
      <c r="D15" t="str">
        <v/>
      </c>
      <c r="E15" t="str">
        <v/>
      </c>
    </row>
    <row r="16">
      <c r="A16" t="str">
        <v>governance</v>
      </c>
      <c r="B16" t="str">
        <v>Cloud DLP che PII, guardrail, eval gate</v>
      </c>
      <c r="C16" t="str">
        <v>CHỜ TV4 điền: dịch vụ/SKU, region, đơn giá × số lượng</v>
      </c>
      <c r="D16" t="str">
        <v/>
      </c>
      <c r="E16" t="str">
        <v/>
      </c>
    </row>
    <row r="17">
      <c r="A17" t="str">
        <v>backup_dr</v>
      </c>
      <c r="B17" t="str">
        <v>Backup Cloud SQL/GCS, cross-region, RTO 4h / RPO 1h</v>
      </c>
      <c r="C17" t="str">
        <v>CHỜ TV4 điền: dịch vụ/SKU, region, đơn giá × số lượng</v>
      </c>
      <c r="D17" t="str">
        <v/>
      </c>
      <c r="E17" t="str">
        <v/>
      </c>
    </row>
    <row r="18">
      <c r="A18" t="str">
        <v>monitoring</v>
      </c>
      <c r="B18" t="str">
        <v>Cloud Logging/Monitoring, audit log 12 tháng, LLM observability</v>
      </c>
      <c r="C18" t="str">
        <v>CHỜ TV4 điền: dịch vụ/SKU, region, đơn giá × số lượng</v>
      </c>
      <c r="D18" t="str">
        <v/>
      </c>
      <c r="E18" t="str">
        <v/>
      </c>
    </row>
    <row r="19">
      <c r="A19" t="str">
        <v>compute</v>
      </c>
      <c r="B19" t="str">
        <v>Phí quản lý GKE regional cluster (control plane 3 AZ, prod + staging dùng chung 1 cluster)</v>
      </c>
      <c r="C19" t="str">
        <v>GKE Regional Kubernetes Clusters, SKU B561-BFBD-1264: 1 cluster × 730 giờ × 0.1 USD/giờ. Staging chạy trong cùng cluster (namespace + node pool riêng) nên không thêm phí cluster</v>
      </c>
      <c r="D19">
        <v>73</v>
      </c>
      <c r="E19" t="str">
        <v>E01; https://cloud.google.com/kubernetes-engine/pricing</v>
      </c>
    </row>
    <row r="20">
      <c r="A20" t="str">
        <v>compute</v>
      </c>
      <c r="B20" t="str">
        <v>Node pool app production, phần nền 24/7: web/API, LLM gateway, orchestrator, connector &amp; agent workers</v>
      </c>
      <c r="C20" t="str">
        <v>e2-standard-4 (4 vCPU, 16 GB), asia-southeast1, 3 node (1 node/zone × 3 zone, multi-AZ) × 730 giờ × 0.104159 USD/giờ. Committed use 1 năm cho 12 vCPU + 48 GB: 4 × 0.016952865 + 16 × 0.002271742 (SKU AA47-6F66-D143, C0B6-DC5E-4BD8)</v>
      </c>
      <c r="D20">
        <v>228.11</v>
      </c>
      <c r="E20" t="str">
        <v>E02; https://cloud.google.com/compute/vm-instance-pricing</v>
      </c>
    </row>
    <row r="21">
      <c r="A21" t="str">
        <v>compute</v>
      </c>
      <c r="B21" t="str">
        <v>Node pool app production, scale-out giờ cao điểm (autoscaler 1 → 2 node/zone)</v>
      </c>
      <c r="C21" t="str">
        <v>e2-standard-4 on-demand, asia-southeast1, +3 node (1 node/zone) × 220 giờ hành chính × 0.165332 USD/giờ = 4 × 0.02690931 + 16 × 0.00360594 (SKU 7102-B9AA-2ACF, E277-7DC2-2C7D). Ngoài giờ scale về 3 node</v>
      </c>
      <c r="D21">
        <v>109.12</v>
      </c>
      <c r="E21" t="str">
        <v>E03; https://cloud.google.com/compute/vm-instance-pricing</v>
      </c>
    </row>
    <row r="22">
      <c r="A22" t="str">
        <v>compute</v>
      </c>
      <c r="B22" t="str">
        <v>Node pool staging (môi trường staging): 1 node Spot, chạy giờ hành chính, ngoài giờ scale về 0</v>
      </c>
      <c r="C22" t="str">
        <v>e2-standard-4 Spot, asia-southeast1-a, 1 node × 220 giờ × 0.099224 USD/giờ = 4 × 0.01615 + 16 × 0.002164 (SKU 7217-D10E-E65B, 32B3-29BC-0D1E, giá Spot ngày 2026-10-16)</v>
      </c>
      <c r="D22">
        <v>21.83</v>
      </c>
      <c r="E22" t="str">
        <v>E04; https://cloud.google.com/compute/vm-instance-pricing</v>
      </c>
    </row>
    <row r="23">
      <c r="A23" t="str">
        <v>compute</v>
      </c>
      <c r="B23" t="str">
        <v>Boot disk cho node app và staging</v>
      </c>
      <c r="C23" t="str">
        <v>PD Standard, asia-southeast1, SKU 0572-568A-4FC4: 50 GB × (3 node 24/7 + 4 node × 220/730) = 210.3 GB-tháng × 0.044 USD</v>
      </c>
      <c r="D23">
        <v>9.25</v>
      </c>
      <c r="E23" t="str">
        <v>E05; https://cloud.google.com/compute/disks-image-pricing</v>
      </c>
    </row>
    <row r="24">
      <c r="A24" t="str">
        <v>load_balancer</v>
      </c>
      <c r="B24" t="str">
        <v>Global External Application Load Balancer (anycast, đa zone, TLS 1.2+, chứng chỉ Google-managed) trước GKE Gateway</v>
      </c>
      <c r="C24" t="str">
        <v>Forwarding rule global, SKU DEE3-C42E-3E4D: mức tối thiểu cho tới 5 rule (HTTPS + redirect HTTP) × 730 giờ × 0.025 USD/giờ. LB là dịch vụ managed, không có SPOF (HA)</v>
      </c>
      <c r="D24">
        <v>18.25</v>
      </c>
      <c r="E24" t="str">
        <v>E06; https://cloud.google.com/vpc/network-pricing</v>
      </c>
    </row>
    <row r="25">
      <c r="A25" t="str">
        <v>load_balancer</v>
      </c>
      <c r="B25" t="str">
        <v>Data processing của Load Balancer tại Singapore (vào + ra)</v>
      </c>
      <c r="C25" t="str">
        <v>SKU 17FF-00DE-2217 / A9BA-43D3-25AD: (70 GB vào + 200 GB ra) × 0.009 USD/GB. Vào: 1,1 triệu request/tháng × 20 KB + upload file; ra: response stream + asset + file DOCX/XLSX/PPTX</v>
      </c>
      <c r="D25">
        <v>2.43</v>
      </c>
      <c r="E25" t="str">
        <v>E06; https://cloud.google.com/vpc/network-pricing</v>
      </c>
    </row>
    <row r="26">
      <c r="A26" t="str">
        <v>network</v>
      </c>
      <c r="B26" t="str">
        <v>Cloud NAT gateway cho node private gọi API SaaS connectors (kiểm soát egress)</v>
      </c>
      <c r="C26" t="str">
        <v>SKU 32E2-4EFC-EF9F: 0.0014 USD/VM-giờ × 5260 VM-giờ (app 3×730 + 3×220, staging 1×220, sandbox 3×730). Vertex AI đi qua Private Google Access, không qua NAT</v>
      </c>
      <c r="D26">
        <v>7.36</v>
      </c>
      <c r="E26" t="str">
        <v>E07; https://cloud.google.com/nat/pricing</v>
      </c>
    </row>
    <row r="27">
      <c r="A27" t="str">
        <v>network</v>
      </c>
      <c r="B27" t="str">
        <v>IP public của Cloud NAT (IP cố định để SaaS whitelist)</v>
      </c>
      <c r="C27" t="str">
        <v>SKU 8515-9425-D2CE: 1 IP × 730 giờ × 0.005 USD/giờ</v>
      </c>
      <c r="D27">
        <v>3.65</v>
      </c>
      <c r="E27" t="str">
        <v>E07; https://cloud.google.com/nat/pricing</v>
      </c>
    </row>
    <row r="28">
      <c r="A28" t="str">
        <v>network</v>
      </c>
      <c r="B28" t="str">
        <v>Dữ liệu qua Cloud NAT: gọi API Google Workspace, M365, Notion, Jira, Confluence và đồng bộ index</v>
      </c>
      <c r="C28" t="str">
        <v>SKU 015F-5732-FFF0: 300 GB/tháng (vào + ra) × 0.045 USD/GB</v>
      </c>
      <c r="D28">
        <v>13.5</v>
      </c>
      <c r="E28" t="str">
        <v>E07; https://cloud.google.com/nat/pricing</v>
      </c>
    </row>
    <row r="29">
      <c r="A29" t="str">
        <v>network</v>
      </c>
      <c r="B29" t="str">
        <v>Internet egress Premium Tier từ Singapore tới người dùng tại Việt Nam (APAC)</v>
      </c>
      <c r="C29" t="str">
        <v>SKU 400E-0B94-6FB4 (Singapore → APAC, bậc 0-1 TiB): 220 GB × 0.12 USD/GB (200 GB response qua LB + 20 GB request ra SaaS)</v>
      </c>
      <c r="D29">
        <v>26.4</v>
      </c>
      <c r="E29" t="str">
        <v>E08; https://cloud.google.com/vpc/network-pricing</v>
      </c>
    </row>
    <row r="30">
      <c r="A30" t="str">
        <v>network</v>
      </c>
      <c r="B30" t="str">
        <v>Lưu lượng giữa các zone (multi-AZ): pod ↔ pod, pod ↔ Cloud SQL/Redis</v>
      </c>
      <c r="C30" t="str">
        <v>Inter-zone data transfer cùng region, SKU DE9E-AFBC-A15A: 200 GB × 0.01 USD/GB</v>
      </c>
      <c r="D30">
        <v>2</v>
      </c>
      <c r="E30" t="str">
        <v>E09; https://cloud.google.com/vpc/network-pricing</v>
      </c>
    </row>
    <row r="31">
      <c r="A31" t="str">
        <v>network</v>
      </c>
      <c r="B31" t="str">
        <v>Cloud Armor Standard WAF: chặn SQLi/XSS (OWASP CRS), rate limit theo IP</v>
      </c>
      <c r="C31" t="str">
        <v>1 policy × 5 USD + 4 rule × 1 USD + 15 triệu request × 0.75 USD/triệu (SKU 4B13-E64F-4A2B, A321-89BD-F5BC, 1A87-DEB9-C4BE)</v>
      </c>
      <c r="D31">
        <v>20.25</v>
      </c>
      <c r="E31" t="str">
        <v>E10; https://cloud.google.com/armor/pricing</v>
      </c>
    </row>
    <row r="32">
      <c r="A32" t="str">
        <v>cicd</v>
      </c>
      <c r="B32" t="str">
        <v>Cloud Build: pipeline build/test/deploy lên staging rồi production (IaC Terraform)</v>
      </c>
      <c r="C32" t="str">
        <v>Build time e2-standard-2, SKU A464-9020-6404: 10 service × 2 build/ngày × 22 ngày × 6 phút = 2640 phút × 0.006 USD/phút (tính toàn bộ số phút theo đơn giá niêm yết)</v>
      </c>
      <c r="D32">
        <v>15.84</v>
      </c>
      <c r="E32" t="str">
        <v>E11; https://cloud.google.com/build/pricing</v>
      </c>
    </row>
    <row r="33">
      <c r="A33" t="str">
        <v>cicd</v>
      </c>
      <c r="B33" t="str">
        <v>Artifact Registry: lưu container image cho staging và production</v>
      </c>
      <c r="C33" t="str">
        <v>SKU 8502-299A-ABAF: 30 GB (10 service × ~300 MB × giữ 10 phiên bản, cleanup policy) × 0.1 USD/GB-tháng</v>
      </c>
      <c r="D33">
        <v>3</v>
      </c>
      <c r="E33" t="str">
        <v>E12; https://cloud.google.com/artifact-registry/pricing</v>
      </c>
    </row>
    <row r="34">
      <c r="A34" t="str">
        <v>ops_labor</v>
      </c>
      <c r="B34" t="str">
        <v>Nhân sự vận hành: 1 FTE SRE/MLOps (trực giờ hành chính, on-call sự cố)</v>
      </c>
      <c r="C34" t="str">
        <v>1 FTE × 3500 USD/tháng (lương + bảo hiểm + phụ cấp on-call); phụ trách GKE, CI/CD, Terraform, backup, cảnh báo</v>
      </c>
      <c r="D34">
        <v>3500</v>
      </c>
      <c r="E34" t="str">
        <v>NA</v>
      </c>
    </row>
    <row r="35">
      <c r="A35" t="str">
        <v>licenses</v>
      </c>
      <c r="B35" t="str">
        <v>Gói Google Cloud Customer Care - Standard Support (hỗ trợ kỹ thuật 24/7 cho production)</v>
      </c>
      <c r="C35" t="str">
        <v>max(29 USD; 3% × tổng chi phí cloud các dòng 2-33), công thức tự cập nhật khi nhóm điền đủ</v>
      </c>
      <c r="D35">
        <f>MAX(29,0.03*(SUM(D2:D33)))</f>
        <v>29</v>
      </c>
      <c r="E35" t="str">
        <v>E13; https://cloud.google.com/support</v>
      </c>
    </row>
    <row r="36">
      <c r="A36" t="str">
        <v>contingency</v>
      </c>
      <c r="B36" t="str">
        <v>Dự phòng cho phần biến động theo lượng dùng (token LLM, embedding)</v>
      </c>
      <c r="C36" t="str">
        <v>10% × (tổng dòng llm + embedding): token/user là ước lượng nên dễ lệch nhất; công thức tự cập nhật</v>
      </c>
      <c r="D36">
        <f>0.1*(SUMIF(A2:A33,"llm",D2:D33)+SUMIF(A2:A33,"embedding",D2:D33))</f>
        <v>0</v>
      </c>
      <c r="E36" t="str">
        <v>NA</v>
      </c>
    </row>
    <row r="37">
      <c r="A37" t="str">
        <v>TOTAL</v>
      </c>
      <c r="B37" t="str">
        <v/>
      </c>
      <c r="C37" t="str">
        <v/>
      </c>
      <c r="D37">
        <f>SUM(D2:D36)</f>
        <v>4082.99</v>
      </c>
      <c r="E37" t="str">
        <v/>
      </c>
    </row>
  </sheetData>
  <autoFilter ref="A1:E37"/>
  <ignoredErrors>
    <ignoredError numberStoredAsText="1" sqref="A1: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110.83203125" customWidth="1"/>
    <col min="3" max="3" width="55.83203125" customWidth="1"/>
    <col min="4" max="4" width="12.83203125" customWidth="1"/>
    <col min="5" max="5" width="45.83203125" customWidth="1"/>
  </cols>
  <sheetData>
    <row r="1">
      <c r="A1" t="str">
        <v>evidence_id</v>
      </c>
      <c r="B1" t="str">
        <v>Mô tả</v>
      </c>
      <c r="C1" t="str">
        <v>Link</v>
      </c>
      <c r="D1" t="str">
        <v>Ngày chụp</v>
      </c>
      <c r="E1" t="str">
        <v>Ảnh chụp màn hình (dán vào ô cùng dòng)</v>
      </c>
    </row>
    <row r="2">
      <c r="A2" t="str">
        <v>E01</v>
      </c>
      <c r="B2" t="str">
        <v>GKE pricing: cluster management fee 0.10 USD/giờ cho regional cluster (SKU B561-BFBD-1264)</v>
      </c>
      <c r="C2" t="str">
        <v>https://cloud.google.com/kubernetes-engine/pricing</v>
      </c>
      <c r="D2" t="str">
        <v>2026-10-16</v>
      </c>
      <c r="E2" t="str">
        <v/>
      </c>
    </row>
    <row r="3">
      <c r="A3" t="str">
        <v>E02</v>
      </c>
      <c r="B3" t="str">
        <v>Compute Engine committed use 1 năm, E2 Cpu 0.016952865 USD/giờ, E2 Ram 0.002271742 USD/GB-giờ, Singapore (SKU AA47-6F66-D143, C0B6-DC5E-4BD8)</v>
      </c>
      <c r="C3" t="str">
        <v>https://cloud.google.com/compute/vm-instance-pricing</v>
      </c>
      <c r="D3" t="str">
        <v>2026-10-16</v>
      </c>
      <c r="E3" t="str">
        <v/>
      </c>
    </row>
    <row r="4">
      <c r="A4" t="str">
        <v>E03</v>
      </c>
      <c r="B4" t="str">
        <v>Compute Engine on-demand, E2 Instance Core 0.02690931 USD/giờ, Ram 0.00360594 USD/GB-giờ, Singapore (SKU 7102-B9AA-2ACF, E277-7DC2-2C7D)</v>
      </c>
      <c r="C4" t="str">
        <v>https://cloud.google.com/compute/vm-instance-pricing</v>
      </c>
      <c r="D4" t="str">
        <v>2026-10-16</v>
      </c>
      <c r="E4" t="str">
        <v/>
      </c>
    </row>
    <row r="5">
      <c r="A5" t="str">
        <v>E04</v>
      </c>
      <c r="B5" t="str">
        <v>Compute Engine Spot, E2 Core 0.01615 USD/giờ, Ram 0.002164 USD/GB-giờ, Singapore (SKU 7217-D10E-E65B, 32B3-29BC-0D1E)</v>
      </c>
      <c r="C5" t="str">
        <v>https://cloud.google.com/spot-vms/pricing</v>
      </c>
      <c r="D5" t="str">
        <v>2026-10-16</v>
      </c>
      <c r="E5" t="str">
        <v/>
      </c>
    </row>
    <row r="6">
      <c r="A6" t="str">
        <v>E05</v>
      </c>
      <c r="B6" t="str">
        <v>Persistent Disk Standard 0.044 USD/GB-tháng, Singapore (SKU 0572-568A-4FC4)</v>
      </c>
      <c r="C6" t="str">
        <v>https://cloud.google.com/compute/disks-image-pricing</v>
      </c>
      <c r="D6" t="str">
        <v>2026-10-16</v>
      </c>
      <c r="E6" t="str">
        <v/>
      </c>
    </row>
    <row r="7">
      <c r="A7" t="str">
        <v>E06</v>
      </c>
      <c r="B7" t="str">
        <v>Load Balancing: forwarding rule global 0.025 USD/giờ (5 rule đầu); data processing ALB Singapore 0.009 USD/GB (SKU DEE3-C42E-3E4D, 17FF-00DE-2217, A9BA-43D3-25AD)</v>
      </c>
      <c r="C7" t="str">
        <v>https://cloud.google.com/vpc/network-pricing</v>
      </c>
      <c r="D7" t="str">
        <v>2026-10-16</v>
      </c>
      <c r="E7" t="str">
        <v/>
      </c>
    </row>
    <row r="8">
      <c r="A8" t="str">
        <v>E07</v>
      </c>
      <c r="B8" t="str">
        <v>Cloud NAT: 0.0014 USD/VM-giờ, 0.045 USD/GB xử lý, 0.005 USD/giờ mỗi IP (SKU 32E2-4EFC-EF9F, 015F-5732-FFF0, 8515-9425-D2CE)</v>
      </c>
      <c r="C8" t="str">
        <v>https://cloud.google.com/nat/pricing</v>
      </c>
      <c r="D8" t="str">
        <v>2026-10-16</v>
      </c>
      <c r="E8" t="str">
        <v/>
      </c>
    </row>
    <row r="9">
      <c r="A9" t="str">
        <v>E08</v>
      </c>
      <c r="B9" t="str">
        <v>Internet data transfer out Premium Tier, Singapore → APAC 0.12 USD/GB bậc 0-1 TiB (SKU 400E-0B94-6FB4)</v>
      </c>
      <c r="C9" t="str">
        <v>https://cloud.google.com/vpc/network-pricing</v>
      </c>
      <c r="D9" t="str">
        <v>2026-10-16</v>
      </c>
      <c r="E9" t="str">
        <v/>
      </c>
    </row>
    <row r="10">
      <c r="A10" t="str">
        <v>E09</v>
      </c>
      <c r="B10" t="str">
        <v>Data transfer giữa các zone trong cùng region 0.01 USD/GB (SKU DE9E-AFBC-A15A)</v>
      </c>
      <c r="C10" t="str">
        <v>https://cloud.google.com/vpc/network-pricing</v>
      </c>
      <c r="D10" t="str">
        <v>2026-10-16</v>
      </c>
      <c r="E10" t="str">
        <v/>
      </c>
    </row>
    <row r="11">
      <c r="A11" t="str">
        <v>E10</v>
      </c>
      <c r="B11" t="str">
        <v>Cloud Armor Standard: 5 USD/policy-tháng, 1 USD/rule-tháng, 0.75 USD/triệu request (SKU 4B13-E64F-4A2B, A321-89BD-F5BC, 1A87-DEB9-C4BE)</v>
      </c>
      <c r="C11" t="str">
        <v>https://cloud.google.com/armor/pricing</v>
      </c>
      <c r="D11" t="str">
        <v>2026-10-16</v>
      </c>
      <c r="E11" t="str">
        <v/>
      </c>
    </row>
    <row r="12">
      <c r="A12" t="str">
        <v>E11</v>
      </c>
      <c r="B12" t="str">
        <v>Cloud Build: build time e2-standard-2 0.006 USD/phút (SKU A464-9020-6404)</v>
      </c>
      <c r="C12" t="str">
        <v>https://cloud.google.com/build/pricing</v>
      </c>
      <c r="D12" t="str">
        <v>2026-10-16</v>
      </c>
      <c r="E12" t="str">
        <v/>
      </c>
    </row>
    <row r="13">
      <c r="A13" t="str">
        <v>E12</v>
      </c>
      <c r="B13" t="str">
        <v>Artifact Registry storage 0.10 USD/GB-tháng (SKU 8502-299A-ABAF)</v>
      </c>
      <c r="C13" t="str">
        <v>https://cloud.google.com/artifact-registry/pricing</v>
      </c>
      <c r="D13" t="str">
        <v>2026-10-16</v>
      </c>
      <c r="E13" t="str">
        <v/>
      </c>
    </row>
    <row r="14">
      <c r="A14" t="str">
        <v>E13</v>
      </c>
      <c r="B14" t="str">
        <v>Google Cloud Customer Care Standard Support: max(29 USD; 3% chi phí cloud hằng tháng)</v>
      </c>
      <c r="C14" t="str">
        <v>https://cloud.google.com/support</v>
      </c>
      <c r="D14" t="str">
        <v>2026-10-16</v>
      </c>
      <c r="E14" t="str">
        <v/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BaoGia</vt:lpstr>
      <vt:lpstr>BangChung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