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aoGia" sheetId="1" r:id="rId1"/>
    <sheet name="BangChung" sheetId="2" r:id="rId2"/>
  </sheets>
  <definedNames>
    <definedName name="_xlnm._FilterDatabase" localSheetId="0">BaoGia!$A$1:$E$44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cols>
    <col min="1" max="1" width="15.83203125" customWidth="1"/>
    <col min="2" max="2" width="55.83203125" customWidth="1"/>
    <col min="3" max="3" width="95.83203125" customWidth="1"/>
    <col min="4" max="4" width="20.83203125" customWidth="1"/>
    <col min="5" max="5" width="55.83203125" customWidth="1"/>
  </cols>
  <sheetData>
    <row r="1">
      <c r="A1" t="str">
        <v>Component</v>
      </c>
      <c r="B1" t="str">
        <v>Ý nghĩa</v>
      </c>
      <c r="C1" t="str">
        <v>Ghi chú</v>
      </c>
      <c r="D1" t="str">
        <v>Chi phí/tháng (USD)</v>
      </c>
      <c r="E1" t="str">
        <v>Bằng chứng</v>
      </c>
    </row>
    <row r="2">
      <c r="A2" t="str">
        <v>llm</v>
      </c>
      <c r="B2" t="str">
        <v>LLM API serving tren Google Vertex AI (Gemini 3.8 Flash, Gemini Pro va Imagen 3)</v>
      </c>
      <c r="C2" t="str">
        <v>Region asia-southeast1. Gemini 3.8 Flash (Cap 1-3): 2.431M token in (35% cached) = 134,46 USD; 533,5M token out x 0,30 USD/1M = 160,05 USD. Gemini Pro (Cap 4): 1.056M token in (25% cached) = 1.072,50 USD; 198M token out x 5,00 USD/1M = 990,00 USD. Imagen 3 (Cap 5): 33.000 anh x 0,030 USD = 990,00 USD. Context cache luu tru = 22,00 USD. Tong 3.369,01 USD</v>
      </c>
      <c r="D2">
        <v>3369.01</v>
      </c>
      <c r="E2" t="str">
        <v>E01; https://cloud.google.com/vertex-ai/generative-ai/pricing</v>
      </c>
    </row>
    <row r="3">
      <c r="A3" t="str">
        <v>embedding</v>
      </c>
      <c r="B3" t="str">
        <v>Embedding model text-embedding-004 tao vector 768 chieu cho RAG</v>
      </c>
      <c r="C3" t="str">
        <v>Region asia-southeast1. 600 trieu token moi thang phuc vu index tai lieu va chat query x 0,020 USD/1M token = 12,00 USD</v>
      </c>
      <c r="D3">
        <v>12</v>
      </c>
      <c r="E3" t="str">
        <v>E02; https://cloud.google.com/vertex-ai/pricing</v>
      </c>
    </row>
    <row r="4">
      <c r="A4" t="str">
        <v>gateway</v>
      </c>
      <c r="B4" t="str">
        <v>AI Gateway dinh tuyen model, circuit breaker, quota va canh bao ngan sach H8</v>
      </c>
      <c r="C4" t="str">
        <v>2 container Cloud Run (prod va 1 staging) autoscale 220 gio hanh chinh x 0,08 USD = 35,20 USD; Cloud Monitoring API do quota va latency = 14,80 USD</v>
      </c>
      <c r="D4">
        <v>50</v>
      </c>
      <c r="E4" t="str">
        <v>E03; https://cloud.google.com/run/pricing</v>
      </c>
    </row>
    <row r="5">
      <c r="A5" t="str">
        <v>connectors</v>
      </c>
      <c r="B5" t="str">
        <v>Gọi API SaaS (Gmail, Drive, Calendar, Outlook, OneDrive, SharePoint, Teams, Notion, Jira, Confluence) bằng OAuth ủy nhiệm của từng user</v>
      </c>
      <c r="C5" t="str">
        <v>Phí gọi API của Google Workspace, Microsoft Graph, Notion, Jira, Confluence nằm trong license SaaS tập đoàn đang trả; connector worker chạy trên GKE nằm trong dòng compute, lưu lượng ra SaaS qua Cloud NAT nằm trong dòng network. Rate limit từng SaaS theo link bằng chứng; ~20.000 lượt gọi/ngày</v>
      </c>
      <c r="D5">
        <v>0</v>
      </c>
      <c r="E5" t="str">
        <v>https://developers.google.com/workspace/gmail/api/reference/quota; https://learn.microsoft.com/en-us/graph/throttling; https://developer.atlassian.com/cloud/jira/platform/rate-limiting/</v>
      </c>
    </row>
    <row r="6">
      <c r="A6" t="str">
        <v>connectors</v>
      </c>
      <c r="B6" t="str">
        <v>Pub/Sub nhận thông báo thay đổi (Gmail/Drive watch, webhook M365/Jira/Confluence/Notion) cho đồng bộ index theo sự kiện</v>
      </c>
      <c r="C6" t="str">
        <v>Pub/Sub Message Delivery, SKU 027D-B6C7-CCA2: 2,2 triệu event/tháng × 1 KB × 2 (publish + delivery) = 4.4 GB = 0.0043 TiB × 40 USD/TiB, cộng lưu 1 ngày ~0,1 GB × 0,27 USD (F9EB-D3E1-ABDF). Tính toàn bộ theo đơn giá niêm yết</v>
      </c>
      <c r="D6">
        <v>0.2</v>
      </c>
      <c r="E6" t="str">
        <v>E35; https://cloud.google.com/pubsub/pricing</v>
      </c>
    </row>
    <row r="7">
      <c r="A7" t="str">
        <v>connectors</v>
      </c>
      <c r="B7" t="str">
        <v>Cloud Scheduler: delta sync 15 phút/lần trong giờ hành chính cho 5 nhóm connector</v>
      </c>
      <c r="C7" t="str">
        <v>Cloud Scheduler Jobs, SKU A5D6-43A2-28A7: 5 job × 0.1 USD/job-tháng (0,003225806 USD/job-ngày × 31)</v>
      </c>
      <c r="D7">
        <v>0.5</v>
      </c>
      <c r="E7" t="str">
        <v>E36; https://cloud.google.com/scheduler/pricing</v>
      </c>
    </row>
    <row r="8">
      <c r="A8" t="str">
        <v>connectors</v>
      </c>
      <c r="B8" t="str">
        <v>Bucket tạm connector-ingest (file tải từ Drive/SharePoint để tách chunk, tự xóa sau 7 ngày, CMEK)</v>
      </c>
      <c r="C8" t="str">
        <v>GCS Standard Singapore: 15 GB-tháng × 0.02 USD + 150.000 thao tác ghi × 0.000005 USD (SKU 76BA-5CAD-4338, 4DBF-185F-A415)</v>
      </c>
      <c r="D8">
        <v>1.05</v>
      </c>
      <c r="E8" t="str">
        <v>E32; https://cloud.google.com/storage/pricing</v>
      </c>
    </row>
    <row r="9">
      <c r="A9" t="str">
        <v>database</v>
      </c>
      <c r="B9" t="str">
        <v>Cloud SQL PostgreSQL 16 Regional HA (primary + standby khác zone, failover tự động): user, ACL, lịch sử chat 12 tháng, memory, metadata workspace</v>
      </c>
      <c r="C9" t="str">
        <v>db-custom-4-16384, asia-southeast1, REGIONAL (multi-AZ): (4 vCPU × 0.1156 + 16 GB × 0.0196) = 0.776 USD/giờ × 730 giờ = 566.48 USD, committed use 1 năm trả 75% (giảm 25%, SKU B4F3-4753-84D8). SKU 0152-2835-C929, 37B4-B2B7-C640</v>
      </c>
      <c r="D9">
        <v>424.86</v>
      </c>
      <c r="E9" t="str">
        <v>E30; E31; https://cloud.google.com/sql/pricing</v>
      </c>
    </row>
    <row r="10">
      <c r="A10" t="str">
        <v>database</v>
      </c>
      <c r="B10" t="str">
        <v>Ổ SSD Cloud SQL Regional HA 200 GB (chat 12 tháng ~84 GB, vector ~8 GB, memory + metadata ~4 GB, ×1,5 WAL/bloat, dư IOPS)</v>
      </c>
      <c r="C10" t="str">
        <v>Regional Standard storage Singapore, SKU 83A6-DA61-7797: 200 GB × 0.476 USD/GB-tháng (giá regional đã gồm bản sao ở zone standby). Tự tăng tối đa 500 GB</v>
      </c>
      <c r="D10">
        <v>95.2</v>
      </c>
      <c r="E10" t="str">
        <v>E30; https://cloud.google.com/sql/pricing</v>
      </c>
    </row>
    <row r="11">
      <c r="A11" t="str">
        <v>database</v>
      </c>
      <c r="B11" t="str">
        <v>Cloud SQL staging (môi trường staging): zonal, chỉ bật giờ hành chính bằng Cloud Scheduler</v>
      </c>
      <c r="C11" t="str">
        <v>db-custom-1-3840 zonal: (1 × 0.0578 + 3.75 × 0.0098) × 220 giờ = 20.8 USD; SSD 20 GB × 0.238 = 4.76 USD; 2 job Scheduler bật/tắt × 0.1 USD (SKU DE86-B401-E60F, EF83-F6A8-8EA7, 45B3-606F-EE91, A5D6-43A2-28A7)</v>
      </c>
      <c r="D11">
        <v>25.76</v>
      </c>
      <c r="E11" t="str">
        <v>E30; E36; https://cloud.google.com/sql/pricing</v>
      </c>
    </row>
    <row r="12">
      <c r="A12" t="str">
        <v>vector_db</v>
      </c>
      <c r="B12" t="str">
        <v>pgvector (HNSW, 768 chiều) trong Cloud SQL: ~800.000 chunk knowledge base + memory, lọc theo ACL gốc bằng Row-Level Security ngay trong truy vấn ANN</v>
      </c>
      <c r="C12" t="str">
        <v>Nằm trong dòng database (Cloud SQL Regional HA ở trên): vector ~8 GB đã tính vào ổ 200 GB, HNSW index ~3 GB nằm trong RAM 16 GB. Không thuê thêm dịch vụ vector riêng; RLS lọc theo acl_principals nên user không thấy chunk mình không có quyền</v>
      </c>
      <c r="D12">
        <v>0</v>
      </c>
      <c r="E12" t="str">
        <v>E30; E37; https://cloud.google.com/sql/docs/postgres/work-with-vectors</v>
      </c>
    </row>
    <row r="13">
      <c r="A13" t="str">
        <v>object_storage</v>
      </c>
      <c r="B13" t="str">
        <v>GCS workspace riêng từng user (prefix user-workspaces/{user_id}/, UBLA, CMEK, quota 10 GB): dữ liệu ≤ 90 ngày ở lớp Standard</v>
      </c>
      <c r="C13" t="str">
        <v>Standard Storage Singapore, SKU 76BA-5CAD-4338: 1050 GB (350 GB mới/tháng × 3 tháng; 2.000 user × ~160 MB/tháng gồm upload, file agent xuất, ảnh cấp 5, kết quả sandbox, +10% phiên bản cũ) × 0.02 USD/GB-tháng</v>
      </c>
      <c r="D13">
        <v>21</v>
      </c>
      <c r="E13" t="str">
        <v>E32; https://cloud.google.com/storage/pricing</v>
      </c>
    </row>
    <row r="14">
      <c r="A14" t="str">
        <v>object_storage</v>
      </c>
      <c r="B14" t="str">
        <v>GCS workspace: file cũ hơn 90 ngày tự chuyển Nearline bằng lifecycle rule</v>
      </c>
      <c r="C14" t="str">
        <v>Nearline Storage Singapore, SKU 4453-FEE4-941B: 3150 GB (tháng 4-12 × 350 GB) × 0.01 USD/GB-tháng. Tổng workspace 4.200 GB = 2,1 GB/user, dưới quota 10 GB</v>
      </c>
      <c r="D14">
        <v>31.5</v>
      </c>
      <c r="E14" t="str">
        <v>E32; https://cloud.google.com/storage/pricing</v>
      </c>
    </row>
    <row r="15">
      <c r="A15" t="str">
        <v>object_storage</v>
      </c>
      <c r="B15" t="str">
        <v>Thao tác GCS workspace: ghi, đọc, chuyển lớp lifecycle, đọc lại file Nearline</v>
      </c>
      <c r="C15" t="str">
        <v>Class A 1.32 triệu × 0.000005 + Class B 4.4 triệu × 4e-7 + chuyển lớp 440.000 object × 0.00001 + retrieval 160 GB × 0.01 USD (SKU 4DBF-185F-A415, 7870-010B-2763, 9559-D2EC-1D33, 8D92-97F6-DDF3); tính toàn bộ số thao tác theo đơn giá niêm yết</v>
      </c>
      <c r="D15">
        <v>14.36</v>
      </c>
      <c r="E15" t="str">
        <v>E32; https://cloud.google.com/storage/pricing</v>
      </c>
    </row>
    <row r="16">
      <c r="A16" t="str">
        <v>object_storage</v>
      </c>
      <c r="B16" t="str">
        <v>Bucket workspace cho staging (dữ liệu giả, tự xóa sau 30 ngày)</v>
      </c>
      <c r="C16" t="str">
        <v>Standard Storage Singapore, SKU 76BA-5CAD-4338: 50 GB × 0.02 USD/GB-tháng</v>
      </c>
      <c r="D16">
        <v>1</v>
      </c>
      <c r="E16" t="str">
        <v>E32; https://cloud.google.com/storage/pricing</v>
      </c>
    </row>
    <row r="17">
      <c r="A17" t="str">
        <v>cache_queue</v>
      </c>
      <c r="B17" t="str">
        <v>Memorystore for Redis Standard HA 5 GB (primary + replica khác zone, failover tự động): phiên, ngữ cảnh hội thoại, cache RAG, bộ đếm quota, cờ hủy tác vụ agent</v>
      </c>
      <c r="C17" t="str">
        <v>Redis Capacity Standard M2 Singapore, SKU A728-AD0D-27B4: 5 GB × 730 giờ × 0.075 USD/GB-giờ. Chọn 5 GB vì bậc M2 rẻ hơn: 4 GB bậc M1 = 4 × 730 × 0.114 = 332.88 USD. Staging dùng Redis container trên node staging, nằm trong compute</v>
      </c>
      <c r="D17">
        <v>273.75</v>
      </c>
      <c r="E17" t="str">
        <v>E33; https://cloud.google.com/memorystore/docs/redis/pricing</v>
      </c>
    </row>
    <row r="18">
      <c r="A18" t="str">
        <v>cache_queue</v>
      </c>
      <c r="B18" t="str">
        <v>Cloud Tasks: hàng đợi agent chạy nền cấp 4 (retry tối đa 10 phút) và hàng đợi đồng bộ connector</v>
      </c>
      <c r="C18" t="str">
        <v>Cloud Tasks Operations, SKU 378A-D762-1F74: 4.2 triệu operation (132.000 tác vụ agent × 6 bước × 2 = 1,58 triệu; sync theo webhook 2,2 triệu; delta tick 0,35 triệu) × 0.4 USD/triệu, tính toàn bộ theo đơn giá niêm yết</v>
      </c>
      <c r="D18">
        <v>1.68</v>
      </c>
      <c r="E18" t="str">
        <v>E34; https://cloud.google.com/tasks/pricing</v>
      </c>
    </row>
    <row r="19">
      <c r="A19" t="str">
        <v>sandbox</v>
      </c>
      <c r="B19" t="str">
        <v>GKE Sandbox Node Pool co lap kernel bang gVisor cho Agent chay code</v>
      </c>
      <c r="C19" t="str">
        <v>2 node c2-standard-4 (compute-optimized) x 2 AZ x 220 gio x 0,208 USD = 183,04 USD; 1 node staging = 45,76 USD</v>
      </c>
      <c r="D19">
        <v>228.8</v>
      </c>
      <c r="E19" t="str">
        <v>E04; https://cloud.google.com/compute/all-pricing</v>
      </c>
    </row>
    <row r="20">
      <c r="A20" t="str">
        <v>authn</v>
      </c>
      <c r="B20" t="str">
        <v>Xac thuc tap doan SSO OIDC/SAML va MFA qua Cloud Identity Premium</v>
      </c>
      <c r="C20" t="str">
        <v>Cloud Identity Premium bao mat SSO kem MFA cho 2.000 nguoi dung x 1,00 USD/user = 2.000,00 USD; staging dung chung</v>
      </c>
      <c r="D20">
        <v>2000</v>
      </c>
      <c r="E20" t="str">
        <v>E07; https://cloud.google.com/identity/pricing</v>
      </c>
    </row>
    <row r="21">
      <c r="A21" t="str">
        <v>authz</v>
      </c>
      <c r="B21" t="str">
        <v>Policy Engine phan quyen RBAC/ABAC va Document ACL theo quyen goc</v>
      </c>
      <c r="C21" t="str">
        <v>He thong policy engine phan quyen 2.000 user chay tich hop trong ung dung, chi phi nằm trong dong compute</v>
      </c>
      <c r="D21">
        <v>0</v>
      </c>
      <c r="E21" t="str">
        <v>E04; https://cloud.google.com/compute/all-pricing</v>
      </c>
    </row>
    <row r="22">
      <c r="A22" t="str">
        <v>secrets_kms</v>
      </c>
      <c r="B22" t="str">
        <v>Cloud KMS ma hoa du lieu va Secret Manager luu OAuth Refresh Tokens</v>
      </c>
      <c r="C22" t="str">
        <v>1 KMS CryptoKey ma hoa du lieu x 0,06 USD + 100.000 thao tac = 3,06 USD; 2.500 secrets Secret Manager = 15,00 USD</v>
      </c>
      <c r="D22">
        <v>18.06</v>
      </c>
      <c r="E22" t="str">
        <v>E11; https://cloud.google.com/kms/pricing</v>
      </c>
    </row>
    <row r="23">
      <c r="A23" t="str">
        <v>backup_dr</v>
      </c>
      <c r="B23" t="str">
        <v>Kế hoạch Backup va DR Multi-AZ dap ung RTO 4 gio va RPO 1 gio</v>
      </c>
      <c r="C23" t="str">
        <v>Cloud SQL automated daily backup 300 GB x 0,08 USD = 24,00 USD; Cross-region replica DR sang asia-southeast2 = 35,00 USD</v>
      </c>
      <c r="D23">
        <v>59</v>
      </c>
      <c r="E23" t="str">
        <v>E08; https://cloud.google.com/sql/pricing</v>
      </c>
    </row>
    <row r="24">
      <c r="A24" t="str">
        <v>monitoring</v>
      </c>
      <c r="B24" t="str">
        <v>Cloud Monitoring va Cloud Logging luu Audit Log 12 thang theo chuan H5</v>
      </c>
      <c r="C24" t="str">
        <v>50 GB log truy cap va audit 12 thang x 0,50 USD = 25,00 USD; custom metrics va dashboard = 15,00 USD</v>
      </c>
      <c r="D24">
        <v>40</v>
      </c>
      <c r="E24" t="str">
        <v>E12; https://cloud.google.com/stackdriver/pricing</v>
      </c>
    </row>
    <row r="25">
      <c r="A25" t="str">
        <v>governance</v>
      </c>
      <c r="B25" t="str">
        <v>Cloud Sensitive Data Protection (DLP API) phat hien va mask PII</v>
      </c>
      <c r="C25" t="str">
        <v>Quet kiem tra va an thong tin PII (CCCD, the tin dung, email) 100 GB du lieu moi thang x 1,00 USD = 100,00 USD</v>
      </c>
      <c r="D25">
        <v>100</v>
      </c>
      <c r="E25" t="str">
        <v>E13; https://cloud.google.com/sensitive-data-protection/pricing</v>
      </c>
    </row>
    <row r="26">
      <c r="A26" t="str">
        <v>compute</v>
      </c>
      <c r="B26" t="str">
        <v>Phí quản lý GKE regional cluster (control plane 3 AZ, prod + staging dùng chung 1 cluster)</v>
      </c>
      <c r="C26" t="str">
        <v>GKE Regional Kubernetes Clusters, SKU B561-BFBD-1264: 1 cluster × 730 giờ × 0.1 USD/giờ. Staging chạy trong cùng cluster (namespace + node pool riêng) nên không thêm phí cluster</v>
      </c>
      <c r="D26">
        <v>73</v>
      </c>
      <c r="E26" t="str">
        <v>E16; https://cloud.google.com/kubernetes-engine/pricing</v>
      </c>
    </row>
    <row r="27">
      <c r="A27" t="str">
        <v>compute</v>
      </c>
      <c r="B27" t="str">
        <v>Node pool app production, node nền 24/7 (ngoài giờ hành chính chỉ giữ 1 node)</v>
      </c>
      <c r="C27" t="str">
        <v>e2-standard-4 (4 vCPU, 16 GB), asia-southeast1-a, 1 node × 730 giờ × 0.104159 USD/giờ. Committed use 1 năm cho 4 vCPU + 16 GB: 4 × 0.016952865 + 16 × 0.002271742 (SKU AA47-6F66-D143, C0B6-DC5E-4BD8)</v>
      </c>
      <c r="D27">
        <v>76.04</v>
      </c>
      <c r="E27" t="str">
        <v>E17; https://cloud.google.com/compute/vm-instance-pricing</v>
      </c>
    </row>
    <row r="28">
      <c r="A28" t="str">
        <v>compute</v>
      </c>
      <c r="B28" t="str">
        <v>Node pool app production giờ hành chính: thêm 1 node mỗi zone, tổng 4 node trải 3 AZ (sizing TV2: peak 3,5 RPS)</v>
      </c>
      <c r="C28" t="str">
        <v>e2-standard-4 on-demand, asia-southeast1-a/b/c, 3 node × 220 giờ × 0.165332 USD/giờ = 4 × 0.02690931 + 16 × 0.00360594 (SKU 7102-B9AA-2ACF, E277-7DC2-2C7D). Multi-AZ: mỗi zone ≥ 1 node trong giờ SLA 99,5%</v>
      </c>
      <c r="D28">
        <v>109.12</v>
      </c>
      <c r="E28" t="str">
        <v>E18; https://cloud.google.com/compute/vm-instance-pricing</v>
      </c>
    </row>
    <row r="29">
      <c r="A29" t="str">
        <v>compute</v>
      </c>
      <c r="B29" t="str">
        <v>Node pool staging (môi trường staging): 1 node Spot, chạy giờ hành chính, ngoài giờ scale về 0</v>
      </c>
      <c r="C29" t="str">
        <v>e2-standard-4 Spot, asia-southeast1-a, 1 node × 220 giờ × 0.099224 USD/giờ = 4 × 0.01615 + 16 × 0.002164 (SKU 7217-D10E-E65B, 32B3-29BC-0D1E, giá Spot ngày 2026-10-16)</v>
      </c>
      <c r="D29">
        <v>21.83</v>
      </c>
      <c r="E29" t="str">
        <v>E19; https://cloud.google.com/spot-vms/pricing</v>
      </c>
    </row>
    <row r="30">
      <c r="A30" t="str">
        <v>compute</v>
      </c>
      <c r="B30" t="str">
        <v>Boot disk cho node app và staging</v>
      </c>
      <c r="C30" t="str">
        <v>PD Standard, asia-southeast1, SKU 0572-568A-4FC4: 50 GB × (1 node 24/7 + 4 node × 220/730) = 110.3 GB-tháng × 0.044 USD</v>
      </c>
      <c r="D30">
        <v>4.85</v>
      </c>
      <c r="E30" t="str">
        <v>E20; https://cloud.google.com/compute/disks-image-pricing</v>
      </c>
    </row>
    <row r="31">
      <c r="A31" t="str">
        <v>load_balancer</v>
      </c>
      <c r="B31" t="str">
        <v>Global External Application Load Balancer (anycast, đa zone, TLS 1.2+, chứng chỉ Google-managed) trước GKE Gateway</v>
      </c>
      <c r="C31" t="str">
        <v>Forwarding rule global, SKU DEE3-C42E-3E4D: mức tối thiểu cho tới 5 rule (HTTPS + redirect HTTP) × 730 giờ × 0.025 USD/giờ. LB là dịch vụ managed, không có SPOF (HA)</v>
      </c>
      <c r="D31">
        <v>18.25</v>
      </c>
      <c r="E31" t="str">
        <v>E21; https://cloud.google.com/vpc/network-pricing</v>
      </c>
    </row>
    <row r="32">
      <c r="A32" t="str">
        <v>load_balancer</v>
      </c>
      <c r="B32" t="str">
        <v>Data processing của Load Balancer tại Singapore (vào + ra)</v>
      </c>
      <c r="C32" t="str">
        <v>SKU 17FF-00DE-2217 / A9BA-43D3-25AD: 1500 GB vào + ra/tháng (sizing TV2) × 0.009 USD/GB</v>
      </c>
      <c r="D32">
        <v>13.5</v>
      </c>
      <c r="E32" t="str">
        <v>E21; https://cloud.google.com/vpc/network-pricing</v>
      </c>
    </row>
    <row r="33">
      <c r="A33" t="str">
        <v>network</v>
      </c>
      <c r="B33" t="str">
        <v>Cloud NAT gateway (1 gateway regional, managed, tự HA qua 3 zone) cho node private gọi API SaaS</v>
      </c>
      <c r="C33" t="str">
        <v>SKU 32E2-4EFC-EF9F: 0.0014 USD/VM-giờ × 2710 VM-giờ (app 1×730 + 3×220, staging 1×220, sandbox 1100). Vertex AI đi qua Private Google Access, không qua NAT</v>
      </c>
      <c r="D33">
        <v>3.79</v>
      </c>
      <c r="E33" t="str">
        <v>E22; https://cloud.google.com/nat/pricing</v>
      </c>
    </row>
    <row r="34">
      <c r="A34" t="str">
        <v>network</v>
      </c>
      <c r="B34" t="str">
        <v>IP public của Cloud NAT (IP cố định để SaaS whitelist)</v>
      </c>
      <c r="C34" t="str">
        <v>SKU 8515-9425-D2CE: 1 IP × 730 giờ × 0.005 USD/giờ</v>
      </c>
      <c r="D34">
        <v>3.65</v>
      </c>
      <c r="E34" t="str">
        <v>E22; https://cloud.google.com/nat/pricing</v>
      </c>
    </row>
    <row r="35">
      <c r="A35" t="str">
        <v>network</v>
      </c>
      <c r="B35" t="str">
        <v>Dữ liệu qua Cloud NAT: gọi API Google Workspace, M365, Notion, Jira, Confluence và đồng bộ index</v>
      </c>
      <c r="C35" t="str">
        <v>SKU 015F-5732-FFF0: 300 GB/tháng (vào + ra) × 0.045 USD/GB</v>
      </c>
      <c r="D35">
        <v>13.5</v>
      </c>
      <c r="E35" t="str">
        <v>E22; https://cloud.google.com/nat/pricing</v>
      </c>
    </row>
    <row r="36">
      <c r="A36" t="str">
        <v>network</v>
      </c>
      <c r="B36" t="str">
        <v>Internet egress Premium Tier từ Singapore tới người dùng tại Việt Nam (APAC)</v>
      </c>
      <c r="C36" t="str">
        <v>SKU 400E-0B94-6FB4 (Singapore → APAC, bậc 0-1 TiB): 500 GB/tháng (sizing TV2) × 0.12 USD/GB</v>
      </c>
      <c r="D36">
        <v>60</v>
      </c>
      <c r="E36" t="str">
        <v>E23; https://cloud.google.com/vpc/network-pricing</v>
      </c>
    </row>
    <row r="37">
      <c r="A37" t="str">
        <v>network</v>
      </c>
      <c r="B37" t="str">
        <v>Lưu lượng giữa các zone (multi-AZ): pod ↔ pod, pod ↔ Cloud SQL/Redis</v>
      </c>
      <c r="C37" t="str">
        <v>Inter-zone data transfer cùng region, SKU DE9E-AFBC-A15A: 200 GB × 0.01 USD/GB</v>
      </c>
      <c r="D37">
        <v>2</v>
      </c>
      <c r="E37" t="str">
        <v>E24; https://cloud.google.com/vpc/network-pricing</v>
      </c>
    </row>
    <row r="38">
      <c r="A38" t="str">
        <v>network</v>
      </c>
      <c r="B38" t="str">
        <v>Cloud Armor Standard WAF: chặn SQLi/XSS (OWASP CRS), rate limit theo IP</v>
      </c>
      <c r="C38" t="str">
        <v>1 policy × 5 USD + 4 rule × 1 USD + 15 triệu request × 0.75 USD/triệu (SKU 4B13-E64F-4A2B, A321-89BD-F5BC, 1A87-DEB9-C4BE)</v>
      </c>
      <c r="D38">
        <v>20.25</v>
      </c>
      <c r="E38" t="str">
        <v>E25; https://cloud.google.com/armor/pricing</v>
      </c>
    </row>
    <row r="39">
      <c r="A39" t="str">
        <v>cicd</v>
      </c>
      <c r="B39" t="str">
        <v>Cloud Build: pipeline build/test/deploy lên staging rồi production (IaC Terraform)</v>
      </c>
      <c r="C39" t="str">
        <v>Build time e2-standard-2, SKU A464-9020-6404: 10 service × 2 build/ngày × 22 ngày × 6 phút = 2640 phút × 0.006 USD/phút (tính toàn bộ số phút theo đơn giá niêm yết)</v>
      </c>
      <c r="D39">
        <v>15.84</v>
      </c>
      <c r="E39" t="str">
        <v>E26; https://cloud.google.com/build/pricing</v>
      </c>
    </row>
    <row r="40">
      <c r="A40" t="str">
        <v>cicd</v>
      </c>
      <c r="B40" t="str">
        <v>Artifact Registry: lưu container image cho staging và production</v>
      </c>
      <c r="C40" t="str">
        <v>SKU 8502-299A-ABAF: 30 GB (10 service × ~300 MB × giữ 10 phiên bản, cleanup policy) × 0.1 USD/GB-tháng</v>
      </c>
      <c r="D40">
        <v>3</v>
      </c>
      <c r="E40" t="str">
        <v>E27; https://cloud.google.com/artifact-registry/pricing</v>
      </c>
    </row>
    <row r="41">
      <c r="A41" t="str">
        <v>ops_labor</v>
      </c>
      <c r="B41" t="str">
        <v>Nhân sự vận hành: 1 FTE SRE/MLOps (trực giờ hành chính, on-call sự cố)</v>
      </c>
      <c r="C41" t="str">
        <v>1 FTE × 3500 USD/tháng (lương + bảo hiểm + phụ cấp on-call); phụ trách GKE, CI/CD, Terraform, backup, cảnh báo</v>
      </c>
      <c r="D41">
        <v>3500</v>
      </c>
      <c r="E41" t="str">
        <v>NA</v>
      </c>
    </row>
    <row r="42">
      <c r="A42" t="str">
        <v>licenses</v>
      </c>
      <c r="B42" t="str">
        <v>Gói Google Cloud Customer Care - Standard Support (hỗ trợ kỹ thuật cho production)</v>
      </c>
      <c r="C42" t="str">
        <v>max(29 USD; 3% × 7206.35 USD chi phí cloud các dòng 2-40) = 216.19, công thức tự cập nhật</v>
      </c>
      <c r="D42">
        <f>MAX(29,0.03*(SUM(D2:D40)))</f>
        <v>216.19</v>
      </c>
      <c r="E42" t="str">
        <v>E28; https://cloud.google.com/support</v>
      </c>
    </row>
    <row r="43">
      <c r="A43" t="str">
        <v>contingency</v>
      </c>
      <c r="B43" t="str">
        <v>Dự phòng cho phần biến động theo lượng dùng (token LLM, embedding)</v>
      </c>
      <c r="C43" t="str">
        <v>10% × (llm 3369.01 + embedding 12 USD): token/user là ước lượng nên dễ lệch nhất; công thức tự cập nhật</v>
      </c>
      <c r="D43">
        <f>0.1*(SUMIF(A2:A40,"llm",D2:D40)+SUMIF(A2:A40,"embedding",D2:D40))</f>
        <v>338.1</v>
      </c>
      <c r="E43" t="str">
        <v>NA</v>
      </c>
    </row>
    <row r="44">
      <c r="A44" t="str">
        <v>TOTAL</v>
      </c>
      <c r="B44" t="str">
        <v/>
      </c>
      <c r="C44" t="str">
        <v/>
      </c>
      <c r="D44">
        <f>SUM(D2:D43)</f>
        <v>11260.64</v>
      </c>
      <c r="E44" t="str">
        <v/>
      </c>
    </row>
  </sheetData>
  <autoFilter ref="A1:E44"/>
  <ignoredErrors>
    <ignoredError numberStoredAsText="1" sqref="A1:E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31"/>
  <sheetViews>
    <sheetView workbookViewId="0"/>
  </sheetViews>
  <cols>
    <col min="1" max="1" width="12.83203125" customWidth="1"/>
    <col min="2" max="2" width="110.83203125" customWidth="1"/>
    <col min="3" max="3" width="55.83203125" customWidth="1"/>
    <col min="4" max="4" width="12.83203125" customWidth="1"/>
    <col min="5" max="5" width="45.83203125" customWidth="1"/>
  </cols>
  <sheetData>
    <row r="1">
      <c r="A1" t="str">
        <v>evidence_id</v>
      </c>
      <c r="B1" t="str">
        <v>mo_ta</v>
      </c>
      <c r="C1" t="str">
        <v>link</v>
      </c>
      <c r="D1" t="str">
        <v>ngay_chup</v>
      </c>
      <c r="E1" t="str">
        <v>anh_chup (dán ảnh vào ô cùng dòng)</v>
      </c>
    </row>
    <row r="2">
      <c r="A2" t="str">
        <v>E01</v>
      </c>
      <c r="B2" t="str">
        <v>Vertex AI Gemini 3.8 Flash, Pro va Imagen 3 Pricing</v>
      </c>
      <c r="C2" t="str">
        <v>https://cloud.google.com/vertex-ai/generative-ai/pricing</v>
      </c>
      <c r="D2" t="str">
        <v>2026-10-15</v>
      </c>
    </row>
    <row r="3">
      <c r="A3" t="str">
        <v>E02</v>
      </c>
      <c r="B3" t="str">
        <v>Vertex AI text-embedding-004 va Vector Search Pricing</v>
      </c>
      <c r="C3" t="str">
        <v>https://cloud.google.com/vertex-ai/pricing</v>
      </c>
      <c r="D3" t="str">
        <v>2026-10-15</v>
      </c>
    </row>
    <row r="4">
      <c r="A4" t="str">
        <v>E03</v>
      </c>
      <c r="B4" t="str">
        <v>Google Cloud Run serverless container cho AI Gateway</v>
      </c>
      <c r="C4" t="str">
        <v>https://cloud.google.com/run/pricing</v>
      </c>
      <c r="D4" t="str">
        <v>2026-10-15</v>
      </c>
    </row>
    <row r="5">
      <c r="A5" t="str">
        <v>E04</v>
      </c>
      <c r="B5" t="str">
        <v>Google Compute Engine va GKE Node Pricing (asia-southeast1)</v>
      </c>
      <c r="C5" t="str">
        <v>https://cloud.google.com/compute/all-pricing</v>
      </c>
      <c r="D5" t="str">
        <v>2026-10-15</v>
      </c>
    </row>
    <row r="6">
      <c r="A6" t="str">
        <v>E07</v>
      </c>
      <c r="B6" t="str">
        <v>Google Cloud Identity Premium SSO va MFA Pricing</v>
      </c>
      <c r="C6" t="str">
        <v>https://cloud.google.com/identity/pricing</v>
      </c>
      <c r="D6" t="str">
        <v>2026-10-15</v>
      </c>
    </row>
    <row r="7">
      <c r="A7" t="str">
        <v>E08</v>
      </c>
      <c r="B7" t="str">
        <v>Google Cloud SQL PostgreSQL HA Multi-AZ Pricing</v>
      </c>
      <c r="C7" t="str">
        <v>https://cloud.google.com/sql/pricing</v>
      </c>
      <c r="D7" t="str">
        <v>2026-10-15</v>
      </c>
    </row>
    <row r="8">
      <c r="A8" t="str">
        <v>E11</v>
      </c>
      <c r="B8" t="str">
        <v>Google Cloud KMS va Secret Manager Pricing</v>
      </c>
      <c r="C8" t="str">
        <v>https://cloud.google.com/kms/pricing</v>
      </c>
      <c r="D8" t="str">
        <v>2026-10-15</v>
      </c>
    </row>
    <row r="9">
      <c r="A9" t="str">
        <v>E12</v>
      </c>
      <c r="B9" t="str">
        <v>Google Cloud Monitoring va Logging Retention 12 thang Pricing</v>
      </c>
      <c r="C9" t="str">
        <v>https://cloud.google.com/stackdriver/pricing</v>
      </c>
      <c r="D9" t="str">
        <v>2026-10-15</v>
      </c>
    </row>
    <row r="10">
      <c r="A10" t="str">
        <v>E13</v>
      </c>
      <c r="B10" t="str">
        <v>Google Cloud Sensitive Data Protection (Cloud DLP API) Pricing</v>
      </c>
      <c r="C10" t="str">
        <v>https://cloud.google.com/sensitive-data-protection/pricing</v>
      </c>
      <c r="D10" t="str">
        <v>2026-10-15</v>
      </c>
    </row>
    <row r="11">
      <c r="A11" t="str">
        <v>E30</v>
      </c>
      <c r="B11" t="str">
        <v>Cloud SQL for PostgreSQL, Singapore: Regional vCPU 0.1156 USD/giờ, RAM 0.0196 USD/GB-giờ, storage 0.476 USD/GB-tháng; Zonal vCPU 0.0578, RAM 0.0098, storage 0.238 (SKU 0152-2835-C929, 37B4-B2B7-C640, 83A6-DA61-7797, DE86-B401-E60F, EF83-F6A8-8EA7, 45B3-606F-EE91)</v>
      </c>
      <c r="C11" t="str">
        <v>https://cloud.google.com/sql/pricing</v>
      </c>
      <c r="D11" t="str">
        <v>2026-10-16</v>
      </c>
    </row>
    <row r="12">
      <c r="A12" t="str">
        <v>E31</v>
      </c>
      <c r="B12" t="str">
        <v>Cloud SQL committed use 1 năm, asia-southeast1: 0.0075 USD cho mỗi 0.01 USD/giờ cam kết, tức giảm 25% vCPU + RAM (SKU B4F3-4753-84D8)</v>
      </c>
      <c r="C12" t="str">
        <v>https://cloud.google.com/sql/cud</v>
      </c>
      <c r="D12" t="str">
        <v>2026-10-16</v>
      </c>
    </row>
    <row r="13">
      <c r="A13" t="str">
        <v>E32</v>
      </c>
      <c r="B13" t="str">
        <v>Cloud Storage Singapore: Standard 0.020, Nearline 0.010 USD/GB-tháng; Class A 0.05 USD/10.000, Class B 0.004 USD/10.000; Nearline Class A 0.10 USD/10.000; Nearline retrieval 0.01 USD/GB (SKU 76BA-5CAD-4338, 4453-FEE4-941B, 4DBF-185F-A415, 7870-010B-2763, 9559-D2EC-1D33, 8D92-97F6-DDF3)</v>
      </c>
      <c r="C13" t="str">
        <v>https://cloud.google.com/storage/pricing</v>
      </c>
      <c r="D13" t="str">
        <v>2026-10-16</v>
      </c>
    </row>
    <row r="14">
      <c r="A14" t="str">
        <v>E33</v>
      </c>
      <c r="B14" t="str">
        <v>Memorystore for Redis Standard tier, Singapore: M2 (5-10 GB) 0.075 USD/GB-giờ, M1 (1-4 GB) 0.114 USD/GB-giờ (SKU A728-AD0D-27B4, ABC0-67FF-FCAD)</v>
      </c>
      <c r="C14" t="str">
        <v>https://cloud.google.com/memorystore/docs/redis/pricing</v>
      </c>
      <c r="D14" t="str">
        <v>2026-10-16</v>
      </c>
    </row>
    <row r="15">
      <c r="A15" t="str">
        <v>E34</v>
      </c>
      <c r="B15" t="str">
        <v>Cloud Tasks: 0.40 USD/triệu operation (SKU 378A-D762-1F74)</v>
      </c>
      <c r="C15" t="str">
        <v>https://cloud.google.com/tasks/pricing</v>
      </c>
      <c r="D15" t="str">
        <v>2026-10-16</v>
      </c>
    </row>
    <row r="16">
      <c r="A16" t="str">
        <v>E35</v>
      </c>
      <c r="B16" t="str">
        <v>Pub/Sub: message delivery 40 USD/TiB, lưu message 0.27 USD/GB-tháng (SKU 027D-B6C7-CCA2, F9EB-D3E1-ABDF)</v>
      </c>
      <c r="C16" t="str">
        <v>https://cloud.google.com/pubsub/pricing</v>
      </c>
      <c r="D16" t="str">
        <v>2026-10-16</v>
      </c>
    </row>
    <row r="17">
      <c r="A17" t="str">
        <v>E36</v>
      </c>
      <c r="B17" t="str">
        <v>Cloud Scheduler: 0.10 USD/job-tháng = 0.003225806 USD/job-ngày (SKU A5D6-43A2-28A7)</v>
      </c>
      <c r="C17" t="str">
        <v>https://cloud.google.com/scheduler/pricing</v>
      </c>
      <c r="D17" t="str">
        <v>2026-10-16</v>
      </c>
    </row>
    <row r="18">
      <c r="A18" t="str">
        <v>E37</v>
      </c>
      <c r="B18" t="str">
        <v>Cloud SQL for PostgreSQL hỗ trợ extension pgvector (CREATE EXTENSION vector), không tính phí riêng ngoài instance</v>
      </c>
      <c r="C18" t="str">
        <v>https://cloud.google.com/sql/docs/postgres/work-with-vectors</v>
      </c>
      <c r="D18" t="str">
        <v>2026-10-16</v>
      </c>
    </row>
    <row r="19">
      <c r="A19" t="str">
        <v>E16</v>
      </c>
      <c r="B19" t="str">
        <v>GKE pricing: cluster management fee 0.10 USD/giờ cho regional cluster (SKU B561-BFBD-1264)</v>
      </c>
      <c r="C19" t="str">
        <v>https://cloud.google.com/kubernetes-engine/pricing</v>
      </c>
      <c r="D19" t="str">
        <v>2026-10-16</v>
      </c>
    </row>
    <row r="20">
      <c r="A20" t="str">
        <v>E17</v>
      </c>
      <c r="B20" t="str">
        <v>Compute Engine committed use 1 năm, E2 Cpu 0.016952865 USD/giờ, E2 Ram 0.002271742 USD/GB-giờ, Singapore (SKU AA47-6F66-D143, C0B6-DC5E-4BD8)</v>
      </c>
      <c r="C20" t="str">
        <v>https://cloud.google.com/compute/vm-instance-pricing</v>
      </c>
      <c r="D20" t="str">
        <v>2026-10-16</v>
      </c>
    </row>
    <row r="21">
      <c r="A21" t="str">
        <v>E18</v>
      </c>
      <c r="B21" t="str">
        <v>Compute Engine on-demand, E2 Instance Core 0.02690931 USD/giờ, Ram 0.00360594 USD/GB-giờ, Singapore (SKU 7102-B9AA-2ACF, E277-7DC2-2C7D)</v>
      </c>
      <c r="C21" t="str">
        <v>https://cloud.google.com/compute/vm-instance-pricing</v>
      </c>
      <c r="D21" t="str">
        <v>2026-10-16</v>
      </c>
    </row>
    <row r="22">
      <c r="A22" t="str">
        <v>E19</v>
      </c>
      <c r="B22" t="str">
        <v>Compute Engine Spot, E2 Core 0.01615 USD/giờ, Ram 0.002164 USD/GB-giờ, Singapore (SKU 7217-D10E-E65B, 32B3-29BC-0D1E)</v>
      </c>
      <c r="C22" t="str">
        <v>https://cloud.google.com/spot-vms/pricing</v>
      </c>
      <c r="D22" t="str">
        <v>2026-10-16</v>
      </c>
    </row>
    <row r="23">
      <c r="A23" t="str">
        <v>E20</v>
      </c>
      <c r="B23" t="str">
        <v>Persistent Disk Standard 0.044 USD/GB-tháng, Singapore (SKU 0572-568A-4FC4)</v>
      </c>
      <c r="C23" t="str">
        <v>https://cloud.google.com/compute/disks-image-pricing</v>
      </c>
      <c r="D23" t="str">
        <v>2026-10-16</v>
      </c>
    </row>
    <row r="24">
      <c r="A24" t="str">
        <v>E21</v>
      </c>
      <c r="B24" t="str">
        <v>Load Balancing: forwarding rule global 0.025 USD/giờ (5 rule đầu); data processing ALB Singapore 0.009 USD/GB (SKU DEE3-C42E-3E4D, 17FF-00DE-2217, A9BA-43D3-25AD)</v>
      </c>
      <c r="C24" t="str">
        <v>https://cloud.google.com/vpc/network-pricing</v>
      </c>
      <c r="D24" t="str">
        <v>2026-10-16</v>
      </c>
    </row>
    <row r="25">
      <c r="A25" t="str">
        <v>E22</v>
      </c>
      <c r="B25" t="str">
        <v>Cloud NAT: 0.0014 USD/VM-giờ, 0.045 USD/GB xử lý, 0.005 USD/giờ mỗi IP (SKU 32E2-4EFC-EF9F, 015F-5732-FFF0, 8515-9425-D2CE)</v>
      </c>
      <c r="C25" t="str">
        <v>https://cloud.google.com/nat/pricing</v>
      </c>
      <c r="D25" t="str">
        <v>2026-10-16</v>
      </c>
    </row>
    <row r="26">
      <c r="A26" t="str">
        <v>E23</v>
      </c>
      <c r="B26" t="str">
        <v>Internet data transfer out Premium Tier, Singapore → APAC 0.12 USD/GB bậc 0-1 TiB (SKU 400E-0B94-6FB4)</v>
      </c>
      <c r="C26" t="str">
        <v>https://cloud.google.com/vpc/network-pricing</v>
      </c>
      <c r="D26" t="str">
        <v>2026-10-16</v>
      </c>
    </row>
    <row r="27">
      <c r="A27" t="str">
        <v>E24</v>
      </c>
      <c r="B27" t="str">
        <v>Data transfer giữa các zone trong cùng region 0.01 USD/GB (SKU DE9E-AFBC-A15A)</v>
      </c>
      <c r="C27" t="str">
        <v>https://cloud.google.com/vpc/network-pricing</v>
      </c>
      <c r="D27" t="str">
        <v>2026-10-16</v>
      </c>
    </row>
    <row r="28">
      <c r="A28" t="str">
        <v>E25</v>
      </c>
      <c r="B28" t="str">
        <v>Cloud Armor Standard: 5 USD/policy-tháng, 1 USD/rule-tháng, 0.75 USD/triệu request (SKU 4B13-E64F-4A2B, A321-89BD-F5BC, 1A87-DEB9-C4BE)</v>
      </c>
      <c r="C28" t="str">
        <v>https://cloud.google.com/armor/pricing</v>
      </c>
      <c r="D28" t="str">
        <v>2026-10-16</v>
      </c>
    </row>
    <row r="29">
      <c r="A29" t="str">
        <v>E26</v>
      </c>
      <c r="B29" t="str">
        <v>Cloud Build: build time e2-standard-2 0.006 USD/phút (SKU A464-9020-6404)</v>
      </c>
      <c r="C29" t="str">
        <v>https://cloud.google.com/build/pricing</v>
      </c>
      <c r="D29" t="str">
        <v>2026-10-16</v>
      </c>
    </row>
    <row r="30">
      <c r="A30" t="str">
        <v>E27</v>
      </c>
      <c r="B30" t="str">
        <v>Artifact Registry storage 0.10 USD/GB-tháng (SKU 8502-299A-ABAF)</v>
      </c>
      <c r="C30" t="str">
        <v>https://cloud.google.com/artifact-registry/pricing</v>
      </c>
      <c r="D30" t="str">
        <v>2026-10-16</v>
      </c>
    </row>
    <row r="31">
      <c r="A31" t="str">
        <v>E28</v>
      </c>
      <c r="B31" t="str">
        <v>Google Cloud Customer Care Standard Support: max(29 USD; 3% chi phí cloud hằng tháng)</v>
      </c>
      <c r="C31" t="str">
        <v>https://cloud.google.com/support</v>
      </c>
      <c r="D31" t="str">
        <v>2026-10-16</v>
      </c>
    </row>
  </sheetData>
  <ignoredErrors>
    <ignoredError numberStoredAsText="1" sqref="A1:E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BaoGia</vt:lpstr>
      <vt:lpstr>BangChung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